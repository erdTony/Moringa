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<sst xmlns="http://schemas.openxmlformats.org/spreadsheetml/2006/main" count="76" uniqueCount="62">
  <si>
    <t xml:space="preserve">Vendor</t>
  </si>
  <si>
    <t xml:space="preserve">Country</t>
  </si>
  <si>
    <t xml:space="preserve">Origin</t>
  </si>
  <si>
    <t xml:space="preserve">Distributor</t>
  </si>
  <si>
    <t xml:space="preserve">Cost</t>
  </si>
  <si>
    <t xml:space="preserve">Quantity</t>
  </si>
  <si>
    <t xml:space="preserve">Units</t>
  </si>
  <si>
    <t xml:space="preserve">in Grams</t>
  </si>
  <si>
    <t xml:space="preserve">Cost/Gram</t>
  </si>
  <si>
    <t xml:space="preserve">Cost/50g Pkt</t>
  </si>
  <si>
    <t xml:space="preserve">Cost/kg</t>
  </si>
  <si>
    <t xml:space="preserve">Herb to Body</t>
  </si>
  <si>
    <t xml:space="preserve">India</t>
  </si>
  <si>
    <t xml:space="preserve">oz</t>
  </si>
  <si>
    <t xml:space="preserve">Dawn Store</t>
  </si>
  <si>
    <t xml:space="preserve">China</t>
  </si>
  <si>
    <t xml:space="preserve">g</t>
  </si>
  <si>
    <t xml:space="preserve">Plant Guru</t>
  </si>
  <si>
    <t xml:space="preserve">Walmart</t>
  </si>
  <si>
    <t xml:space="preserve">Mogo</t>
  </si>
  <si>
    <t xml:space="preserve">Amazon</t>
  </si>
  <si>
    <t xml:space="preserve">Hanan</t>
  </si>
  <si>
    <t xml:space="preserve">Peru</t>
  </si>
  <si>
    <t xml:space="preserve">Evergreen Herbs</t>
  </si>
  <si>
    <t xml:space="preserve">Mexico</t>
  </si>
  <si>
    <t xml:space="preserve">Solo Therapy</t>
  </si>
  <si>
    <t xml:space="preserve">Aroma Depot</t>
  </si>
  <si>
    <t xml:space="preserve">Philippines</t>
  </si>
  <si>
    <t xml:space="preserve">Green Power Moringa</t>
  </si>
  <si>
    <t xml:space="preserve">Japan</t>
  </si>
  <si>
    <t xml:space="preserve">Indonesia</t>
  </si>
  <si>
    <t xml:space="preserve">GPM of CA</t>
  </si>
  <si>
    <t xml:space="preserve">kg</t>
  </si>
  <si>
    <t xml:space="preserve">Retail Wgt g</t>
  </si>
  <si>
    <t xml:space="preserve">Retail Pkg OH</t>
  </si>
  <si>
    <t xml:space="preserve">Ret Pkg Cost</t>
  </si>
  <si>
    <t xml:space="preserve">Dist Quan</t>
  </si>
  <si>
    <t xml:space="preserve">Dist Wgt kg</t>
  </si>
  <si>
    <t xml:space="preserve">Dist Pkg OH</t>
  </si>
  <si>
    <t xml:space="preserve">Dist Pkg Cost</t>
  </si>
  <si>
    <t xml:space="preserve">Ship Quan</t>
  </si>
  <si>
    <t xml:space="preserve">Ship Wgt kg</t>
  </si>
  <si>
    <t xml:space="preserve">Ship Pkg OH</t>
  </si>
  <si>
    <t xml:space="preserve">Ship Pkg Cost</t>
  </si>
  <si>
    <t xml:space="preserve">Total Quan</t>
  </si>
  <si>
    <t xml:space="preserve">Gross Wgt kg</t>
  </si>
  <si>
    <t xml:space="preserve">Tot Pkg Cost</t>
  </si>
  <si>
    <t xml:space="preserve">All weights are kilograms except retail pack</t>
  </si>
  <si>
    <t xml:space="preserve">Retail Packet Net Weight (grams)</t>
  </si>
  <si>
    <t xml:space="preserve">Packaging overhead for plastic, label, etc.</t>
  </si>
  <si>
    <t xml:space="preserve">Cost of retail packaging</t>
  </si>
  <si>
    <t xml:space="preserve">Distributor quantity per box</t>
  </si>
  <si>
    <t xml:space="preserve">Net weight of distributor box</t>
  </si>
  <si>
    <t xml:space="preserve">Weight overhead for distributor box</t>
  </si>
  <si>
    <t xml:space="preserve">Cost of distributor box</t>
  </si>
  <si>
    <t xml:space="preserve">Number of distributor boxes per pallet</t>
  </si>
  <si>
    <t xml:space="preserve">Net weight of distributor boxes on pallet</t>
  </si>
  <si>
    <t xml:space="preserve">Shipping pallet overhead (pallet itself and wrapping)</t>
  </si>
  <si>
    <t xml:space="preserve">Cost of pallet, etc.</t>
  </si>
  <si>
    <t xml:space="preserve">Total number of retail packages on pallet</t>
  </si>
  <si>
    <t xml:space="preserve">Gross Weight of shipping pallet</t>
  </si>
  <si>
    <t xml:space="preserve">Total cost of shipping materials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</si>
</sst>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$-409]#,##0.00;[RED]\-[$$-409]#,##0.00"/>
    <numFmt numFmtId="166" formatCode="#,##0.00"/>
    <numFmt numFmtId="167" formatCode="#,##0"/>
    <numFmt numFmtId="168" formatCode="[$$-409]#,##0.000;[RED]\-[$$-409]#,##0.000"/>
    <numFmt numFmtId="169" formatCode="[$$-409]#,##0;[RED]\-[$$-409]#,##0"/>
    <numFmt numFmtId="170" formatCode="[$$-409]#,##0.00;[RED]\-[$$-409]#,##0.00"/>
    <numFmt numFmtId="171" formatCode="[$$-409]#,##0;[RED]\-[$$-409]#,##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  <font>
      <sz val="10"/>
      <color rgb="FF468A1A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68A1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6"/>
    <col collapsed="false" customWidth="false" hidden="false" outlineLevel="0" max="5" min="5" style="1" width="11.53"/>
    <col collapsed="false" customWidth="false" hidden="false" outlineLevel="0" max="6" min="6" style="2" width="11.53"/>
    <col collapsed="false" customWidth="true" hidden="false" outlineLevel="0" max="7" min="7" style="0" width="5.42"/>
    <col collapsed="false" customWidth="false" hidden="false" outlineLevel="0" max="8" min="8" style="3" width="11.53"/>
    <col collapsed="false" customWidth="false" hidden="false" outlineLevel="0" max="9" min="9" style="4" width="11.53"/>
    <col collapsed="false" customWidth="false" hidden="false" outlineLevel="0" max="10" min="10" style="1" width="11.53"/>
    <col collapsed="false" customWidth="false" hidden="false" outlineLevel="0" max="11" min="11" style="5" width="11.53"/>
  </cols>
  <sheetData>
    <row r="1" s="6" customFormat="true" ht="12.8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6" t="s">
        <v>6</v>
      </c>
      <c r="H1" s="9" t="s">
        <v>7</v>
      </c>
      <c r="I1" s="10" t="s">
        <v>8</v>
      </c>
      <c r="J1" s="7" t="s">
        <v>9</v>
      </c>
      <c r="K1" s="11" t="s">
        <v>10</v>
      </c>
    </row>
    <row r="2" customFormat="false" ht="12.8" hidden="false" customHeight="false" outlineLevel="0" collapsed="false">
      <c r="A2" s="0" t="s">
        <v>11</v>
      </c>
      <c r="C2" s="0" t="s">
        <v>12</v>
      </c>
      <c r="E2" s="1" t="n">
        <v>4.14</v>
      </c>
      <c r="F2" s="2" t="n">
        <v>0.5</v>
      </c>
      <c r="G2" s="0" t="s">
        <v>13</v>
      </c>
      <c r="H2" s="3" t="n">
        <f aca="false">F2*28.35</f>
        <v>14.175</v>
      </c>
      <c r="I2" s="4" t="n">
        <f aca="false">E2/H2</f>
        <v>0.292063492063492</v>
      </c>
      <c r="J2" s="1" t="n">
        <f aca="false">I2*50</f>
        <v>14.6031746031746</v>
      </c>
      <c r="K2" s="5" t="n">
        <f aca="false">I2*1000</f>
        <v>292.063492063492</v>
      </c>
    </row>
    <row r="3" customFormat="false" ht="12.8" hidden="false" customHeight="false" outlineLevel="0" collapsed="false">
      <c r="A3" s="0" t="s">
        <v>14</v>
      </c>
      <c r="C3" s="0" t="s">
        <v>15</v>
      </c>
      <c r="E3" s="1" t="n">
        <v>2.69</v>
      </c>
      <c r="F3" s="2" t="n">
        <v>17</v>
      </c>
      <c r="G3" s="0" t="s">
        <v>16</v>
      </c>
      <c r="H3" s="3" t="n">
        <f aca="false">F3</f>
        <v>17</v>
      </c>
      <c r="I3" s="4" t="n">
        <f aca="false">E3/H3</f>
        <v>0.158235294117647</v>
      </c>
      <c r="J3" s="1" t="n">
        <f aca="false">I3*50</f>
        <v>7.91176470588235</v>
      </c>
      <c r="K3" s="5" t="n">
        <f aca="false">I3*1000</f>
        <v>158.235294117647</v>
      </c>
    </row>
    <row r="4" customFormat="false" ht="12.8" hidden="false" customHeight="false" outlineLevel="0" collapsed="false">
      <c r="A4" s="0" t="s">
        <v>17</v>
      </c>
      <c r="C4" s="0" t="s">
        <v>12</v>
      </c>
      <c r="D4" s="0" t="s">
        <v>18</v>
      </c>
      <c r="E4" s="1" t="n">
        <v>7.3</v>
      </c>
      <c r="F4" s="2" t="n">
        <v>1</v>
      </c>
      <c r="G4" s="0" t="s">
        <v>13</v>
      </c>
      <c r="H4" s="3" t="n">
        <f aca="false">F4*28.35</f>
        <v>28.35</v>
      </c>
      <c r="I4" s="4" t="n">
        <f aca="false">E4/H4</f>
        <v>0.257495590828924</v>
      </c>
      <c r="J4" s="1" t="n">
        <f aca="false">I4*50</f>
        <v>12.8747795414462</v>
      </c>
      <c r="K4" s="5" t="n">
        <f aca="false">I4*1000</f>
        <v>257.495590828924</v>
      </c>
    </row>
    <row r="5" customFormat="false" ht="12.8" hidden="false" customHeight="false" outlineLevel="0" collapsed="false">
      <c r="A5" s="0" t="s">
        <v>19</v>
      </c>
      <c r="D5" s="0" t="s">
        <v>20</v>
      </c>
      <c r="E5" s="1" t="n">
        <v>7.99</v>
      </c>
      <c r="F5" s="2" t="n">
        <v>33</v>
      </c>
      <c r="G5" s="0" t="s">
        <v>16</v>
      </c>
      <c r="H5" s="3" t="n">
        <f aca="false">F5</f>
        <v>33</v>
      </c>
      <c r="I5" s="4" t="n">
        <f aca="false">E5/H5</f>
        <v>0.242121212121212</v>
      </c>
      <c r="J5" s="1" t="n">
        <f aca="false">I5*50</f>
        <v>12.1060606060606</v>
      </c>
      <c r="K5" s="5" t="n">
        <f aca="false">I5*1000</f>
        <v>242.121212121212</v>
      </c>
    </row>
    <row r="6" customFormat="false" ht="12.8" hidden="false" customHeight="false" outlineLevel="0" collapsed="false">
      <c r="A6" s="0" t="s">
        <v>21</v>
      </c>
      <c r="B6" s="0" t="s">
        <v>22</v>
      </c>
      <c r="D6" s="0" t="s">
        <v>20</v>
      </c>
      <c r="E6" s="1" t="n">
        <v>12.99</v>
      </c>
      <c r="F6" s="2" t="n">
        <v>100</v>
      </c>
      <c r="G6" s="0" t="s">
        <v>16</v>
      </c>
      <c r="H6" s="3" t="n">
        <f aca="false">F6</f>
        <v>100</v>
      </c>
      <c r="I6" s="4" t="n">
        <f aca="false">E6/H6</f>
        <v>0.1299</v>
      </c>
      <c r="J6" s="1" t="n">
        <f aca="false">I6*50</f>
        <v>6.495</v>
      </c>
      <c r="K6" s="5" t="n">
        <f aca="false">I6*1000</f>
        <v>129.9</v>
      </c>
    </row>
    <row r="7" customFormat="false" ht="12.8" hidden="false" customHeight="false" outlineLevel="0" collapsed="false">
      <c r="A7" s="0" t="s">
        <v>23</v>
      </c>
      <c r="B7" s="0" t="s">
        <v>24</v>
      </c>
      <c r="E7" s="1" t="n">
        <v>10.75</v>
      </c>
      <c r="F7" s="2" t="n">
        <v>112</v>
      </c>
      <c r="G7" s="0" t="s">
        <v>16</v>
      </c>
      <c r="H7" s="3" t="n">
        <f aca="false">F7</f>
        <v>112</v>
      </c>
      <c r="I7" s="4" t="n">
        <f aca="false">E7/H7</f>
        <v>0.0959821428571429</v>
      </c>
      <c r="J7" s="1" t="n">
        <f aca="false">I7*50</f>
        <v>4.79910714285714</v>
      </c>
      <c r="K7" s="5" t="n">
        <f aca="false">I7*1000</f>
        <v>95.9821428571429</v>
      </c>
    </row>
    <row r="8" customFormat="false" ht="12.8" hidden="false" customHeight="false" outlineLevel="0" collapsed="false">
      <c r="A8" s="0" t="s">
        <v>17</v>
      </c>
      <c r="C8" s="0" t="s">
        <v>12</v>
      </c>
      <c r="D8" s="0" t="s">
        <v>18</v>
      </c>
      <c r="E8" s="1" t="n">
        <v>13.2</v>
      </c>
      <c r="F8" s="2" t="n">
        <v>8</v>
      </c>
      <c r="G8" s="0" t="s">
        <v>13</v>
      </c>
      <c r="H8" s="3" t="n">
        <f aca="false">F8*28.35</f>
        <v>226.8</v>
      </c>
      <c r="I8" s="4" t="n">
        <f aca="false">E8/H8</f>
        <v>0.0582010582010582</v>
      </c>
      <c r="J8" s="1" t="n">
        <f aca="false">I8*50</f>
        <v>2.91005291005291</v>
      </c>
      <c r="K8" s="5" t="n">
        <f aca="false">I8*1000</f>
        <v>58.2010582010582</v>
      </c>
    </row>
    <row r="9" customFormat="false" ht="12.8" hidden="false" customHeight="false" outlineLevel="0" collapsed="false">
      <c r="A9" s="0" t="s">
        <v>25</v>
      </c>
      <c r="D9" s="0" t="s">
        <v>20</v>
      </c>
      <c r="E9" s="1" t="n">
        <v>22.99</v>
      </c>
      <c r="F9" s="2" t="n">
        <v>10</v>
      </c>
      <c r="G9" s="0" t="s">
        <v>13</v>
      </c>
      <c r="H9" s="3" t="n">
        <f aca="false">F9*28.35</f>
        <v>283.5</v>
      </c>
      <c r="I9" s="4" t="n">
        <f aca="false">E9/H9</f>
        <v>0.0810934744268078</v>
      </c>
      <c r="J9" s="1" t="n">
        <f aca="false">I9*50</f>
        <v>4.05467372134039</v>
      </c>
      <c r="K9" s="5" t="n">
        <f aca="false">I9*1000</f>
        <v>81.0934744268078</v>
      </c>
    </row>
    <row r="10" customFormat="false" ht="12.8" hidden="false" customHeight="false" outlineLevel="0" collapsed="false">
      <c r="A10" s="0" t="s">
        <v>26</v>
      </c>
      <c r="B10" s="0" t="s">
        <v>27</v>
      </c>
      <c r="D10" s="0" t="s">
        <v>20</v>
      </c>
      <c r="E10" s="1" t="n">
        <v>19.95</v>
      </c>
      <c r="F10" s="2" t="n">
        <v>16</v>
      </c>
      <c r="G10" s="0" t="s">
        <v>13</v>
      </c>
      <c r="H10" s="3" t="n">
        <f aca="false">F10*28.35</f>
        <v>453.6</v>
      </c>
      <c r="I10" s="4" t="n">
        <f aca="false">E10/H10</f>
        <v>0.0439814814814815</v>
      </c>
      <c r="J10" s="1" t="n">
        <f aca="false">I10*50</f>
        <v>2.19907407407407</v>
      </c>
      <c r="K10" s="5" t="n">
        <f aca="false">I10*1000</f>
        <v>43.9814814814815</v>
      </c>
    </row>
    <row r="11" customFormat="false" ht="12.8" hidden="false" customHeight="false" outlineLevel="0" collapsed="false">
      <c r="H11" s="3" t="n">
        <v>1</v>
      </c>
      <c r="I11" s="4" t="n">
        <f aca="false">E11/H11</f>
        <v>0</v>
      </c>
      <c r="J11" s="1" t="n">
        <f aca="false">I11*50</f>
        <v>0</v>
      </c>
      <c r="K11" s="5" t="n">
        <f aca="false">I11*1000</f>
        <v>0</v>
      </c>
    </row>
    <row r="12" customFormat="false" ht="12.8" hidden="false" customHeight="false" outlineLevel="0" collapsed="false">
      <c r="H12" s="3" t="n">
        <v>1</v>
      </c>
      <c r="I12" s="4" t="n">
        <f aca="false">E12/H12</f>
        <v>0</v>
      </c>
      <c r="J12" s="1" t="n">
        <f aca="false">I12*50</f>
        <v>0</v>
      </c>
      <c r="K12" s="5" t="n">
        <f aca="false">I12*1000</f>
        <v>0</v>
      </c>
    </row>
    <row r="13" customFormat="false" ht="12.8" hidden="false" customHeight="false" outlineLevel="0" collapsed="false">
      <c r="H13" s="3" t="n">
        <v>1</v>
      </c>
      <c r="I13" s="4" t="n">
        <f aca="false">E13/H13</f>
        <v>0</v>
      </c>
      <c r="J13" s="1" t="n">
        <f aca="false">I13*50</f>
        <v>0</v>
      </c>
      <c r="K13" s="5" t="n">
        <f aca="false">I13*1000</f>
        <v>0</v>
      </c>
    </row>
    <row r="14" s="12" customFormat="true" ht="12.8" hidden="false" customHeight="false" outlineLevel="0" collapsed="false">
      <c r="A14" s="12" t="s">
        <v>28</v>
      </c>
      <c r="B14" s="12" t="s">
        <v>29</v>
      </c>
      <c r="C14" s="12" t="s">
        <v>30</v>
      </c>
      <c r="D14" s="12" t="s">
        <v>31</v>
      </c>
      <c r="E14" s="13" t="n">
        <v>30</v>
      </c>
      <c r="F14" s="14" t="n">
        <v>1</v>
      </c>
      <c r="G14" s="12" t="s">
        <v>32</v>
      </c>
      <c r="H14" s="15" t="n">
        <f aca="false">F14*1000</f>
        <v>1000</v>
      </c>
      <c r="I14" s="16" t="n">
        <f aca="false">E14/H14</f>
        <v>0.03</v>
      </c>
      <c r="J14" s="13" t="n">
        <f aca="false">I14*50</f>
        <v>1.5</v>
      </c>
      <c r="K14" s="17" t="n">
        <f aca="false">I14*1000</f>
        <v>30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1" activeCellId="0" sqref="N21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3" width="11.53"/>
    <col collapsed="false" customWidth="false" hidden="false" outlineLevel="0" max="3" min="3" style="18" width="11.53"/>
    <col collapsed="false" customWidth="false" hidden="false" outlineLevel="0" max="5" min="5" style="2" width="11.53"/>
    <col collapsed="false" customWidth="false" hidden="false" outlineLevel="0" max="6" min="6" style="3" width="11.53"/>
    <col collapsed="false" customWidth="false" hidden="false" outlineLevel="0" max="7" min="7" style="18" width="11.53"/>
    <col collapsed="false" customWidth="false" hidden="false" outlineLevel="0" max="10" min="9" style="3" width="11.53"/>
    <col collapsed="false" customWidth="false" hidden="false" outlineLevel="0" max="11" min="11" style="19" width="11.53"/>
    <col collapsed="false" customWidth="false" hidden="false" outlineLevel="0" max="13" min="13" style="3" width="11.53"/>
  </cols>
  <sheetData>
    <row r="1" s="20" customFormat="true" ht="12.8" hidden="false" customHeight="false" outlineLevel="0" collapsed="false">
      <c r="A1" s="20" t="s">
        <v>33</v>
      </c>
      <c r="B1" s="21" t="s">
        <v>34</v>
      </c>
      <c r="C1" s="22" t="s">
        <v>35</v>
      </c>
      <c r="D1" s="20" t="s">
        <v>36</v>
      </c>
      <c r="E1" s="23" t="s">
        <v>37</v>
      </c>
      <c r="F1" s="21" t="s">
        <v>38</v>
      </c>
      <c r="G1" s="22" t="s">
        <v>39</v>
      </c>
      <c r="H1" s="20" t="s">
        <v>40</v>
      </c>
      <c r="I1" s="21" t="s">
        <v>41</v>
      </c>
      <c r="J1" s="21" t="s">
        <v>42</v>
      </c>
      <c r="K1" s="24" t="s">
        <v>43</v>
      </c>
      <c r="L1" s="20" t="s">
        <v>44</v>
      </c>
      <c r="M1" s="21" t="s">
        <v>45</v>
      </c>
      <c r="N1" s="20" t="s">
        <v>46</v>
      </c>
    </row>
    <row r="3" customFormat="false" ht="12.8" hidden="false" customHeight="false" outlineLevel="0" collapsed="false">
      <c r="A3" s="0" t="n">
        <v>50</v>
      </c>
      <c r="B3" s="3" t="n">
        <v>5</v>
      </c>
      <c r="C3" s="18" t="n">
        <v>0.1</v>
      </c>
      <c r="D3" s="0" t="n">
        <v>200</v>
      </c>
      <c r="E3" s="2" t="n">
        <f aca="false">(A3+B3)/1000*D3</f>
        <v>11</v>
      </c>
      <c r="F3" s="3" t="n">
        <v>5</v>
      </c>
      <c r="G3" s="18" t="n">
        <v>15</v>
      </c>
      <c r="H3" s="0" t="n">
        <v>40</v>
      </c>
      <c r="I3" s="3" t="n">
        <f aca="false">H3*(F3+E3)</f>
        <v>640</v>
      </c>
      <c r="J3" s="3" t="n">
        <v>30</v>
      </c>
      <c r="K3" s="19" t="n">
        <v>300</v>
      </c>
      <c r="L3" s="0" t="n">
        <f aca="false">D3*H3</f>
        <v>8000</v>
      </c>
      <c r="M3" s="3" t="n">
        <f aca="false">I3+J3</f>
        <v>670</v>
      </c>
      <c r="N3" s="19" t="n">
        <f aca="false">(C3*D3)+(G3*H3)+K3</f>
        <v>920</v>
      </c>
    </row>
    <row r="5" customFormat="false" ht="12.8" hidden="false" customHeight="false" outlineLevel="0" collapsed="false">
      <c r="A5" s="0" t="n">
        <v>500</v>
      </c>
      <c r="B5" s="3" t="n">
        <v>10</v>
      </c>
      <c r="C5" s="18" t="n">
        <v>0.1</v>
      </c>
      <c r="D5" s="0" t="n">
        <v>50</v>
      </c>
      <c r="E5" s="2" t="n">
        <f aca="false">(A5+B5)/1000*D5</f>
        <v>25.5</v>
      </c>
      <c r="F5" s="3" t="n">
        <v>5</v>
      </c>
      <c r="G5" s="18" t="n">
        <v>15</v>
      </c>
      <c r="H5" s="0" t="n">
        <v>20</v>
      </c>
      <c r="I5" s="3" t="n">
        <f aca="false">H5*(F5+E5)</f>
        <v>610</v>
      </c>
      <c r="J5" s="3" t="n">
        <v>30</v>
      </c>
      <c r="K5" s="19" t="n">
        <v>300</v>
      </c>
      <c r="L5" s="0" t="n">
        <f aca="false">D5*H5</f>
        <v>1000</v>
      </c>
      <c r="M5" s="3" t="n">
        <f aca="false">I5+J5</f>
        <v>640</v>
      </c>
      <c r="N5" s="19" t="n">
        <f aca="false">(C5*D5)+(G5*H5)+K5</f>
        <v>605</v>
      </c>
    </row>
    <row r="7" customFormat="false" ht="12.8" hidden="false" customHeight="false" outlineLevel="0" collapsed="false">
      <c r="E7" s="2" t="s">
        <v>47</v>
      </c>
    </row>
    <row r="8" customFormat="false" ht="12.8" hidden="false" customHeight="false" outlineLevel="0" collapsed="false">
      <c r="A8" s="0" t="s">
        <v>48</v>
      </c>
    </row>
    <row r="9" customFormat="false" ht="12.8" hidden="false" customHeight="false" outlineLevel="0" collapsed="false">
      <c r="B9" s="3" t="s">
        <v>49</v>
      </c>
    </row>
    <row r="10" customFormat="false" ht="12.8" hidden="false" customHeight="false" outlineLevel="0" collapsed="false">
      <c r="C10" s="0" t="s">
        <v>50</v>
      </c>
    </row>
    <row r="11" customFormat="false" ht="12.8" hidden="false" customHeight="false" outlineLevel="0" collapsed="false">
      <c r="D11" s="0" t="s">
        <v>51</v>
      </c>
    </row>
    <row r="12" customFormat="false" ht="12.8" hidden="false" customHeight="false" outlineLevel="0" collapsed="false">
      <c r="E12" s="2" t="s">
        <v>52</v>
      </c>
    </row>
    <row r="13" customFormat="false" ht="12.8" hidden="false" customHeight="false" outlineLevel="0" collapsed="false">
      <c r="F13" s="3" t="s">
        <v>53</v>
      </c>
    </row>
    <row r="14" customFormat="false" ht="12.8" hidden="false" customHeight="false" outlineLevel="0" collapsed="false">
      <c r="G14" s="18" t="s">
        <v>54</v>
      </c>
    </row>
    <row r="15" customFormat="false" ht="12.8" hidden="false" customHeight="false" outlineLevel="0" collapsed="false">
      <c r="H15" s="0" t="s">
        <v>55</v>
      </c>
    </row>
    <row r="16" customFormat="false" ht="12.8" hidden="false" customHeight="false" outlineLevel="0" collapsed="false">
      <c r="I16" s="3" t="s">
        <v>56</v>
      </c>
    </row>
    <row r="17" customFormat="false" ht="12.8" hidden="false" customHeight="false" outlineLevel="0" collapsed="false">
      <c r="J17" s="3" t="s">
        <v>57</v>
      </c>
    </row>
    <row r="18" customFormat="false" ht="12.8" hidden="false" customHeight="false" outlineLevel="0" collapsed="false">
      <c r="K18" s="19" t="s">
        <v>58</v>
      </c>
    </row>
    <row r="19" customFormat="false" ht="12.8" hidden="false" customHeight="false" outlineLevel="0" collapsed="false">
      <c r="L19" s="0" t="s">
        <v>59</v>
      </c>
    </row>
    <row r="20" customFormat="false" ht="12.8" hidden="false" customHeight="false" outlineLevel="0" collapsed="false">
      <c r="M20" s="3" t="s">
        <v>60</v>
      </c>
    </row>
    <row r="21" customFormat="false" ht="12.8" hidden="false" customHeight="false" outlineLevel="0" collapsed="false">
      <c r="N21" s="25" t="s">
        <v>61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2026-01-27T16:09:10Z</dcterms:created>
  <dc:creator/>
  <dc:description/>
  <dc:language>en-US</dc:language>
  <cp:lastModifiedBy/>
  <cp:lastPrinted>2026-01-27T16:36:33Z</cp:lastPrinted>
  <dcterms:modified xsi:type="dcterms:W3CDTF">2026-01-28T02:08:44Z</dcterms:modified>
  <cp:revision>3</cp:revision>
  <dc:subject/>
  <dc:title/>
</cp:coreProperties>
</file>